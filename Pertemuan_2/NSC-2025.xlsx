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 Documents\Downloads\"/>
    </mc:Choice>
  </mc:AlternateContent>
  <xr:revisionPtr revIDLastSave="0" documentId="13_ncr:1_{FEFC344F-82D9-4758-B2F1-4FC83B56032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6" l="1" a="1"/>
  <c r="Q22" i="6" s="1"/>
  <c r="Q23" i="6"/>
  <c r="N24" i="6" a="1"/>
  <c r="N24" i="6" s="1"/>
  <c r="N22" i="6"/>
  <c r="N23" i="6"/>
  <c r="N25" i="6"/>
  <c r="Q24" i="6"/>
  <c r="Q25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2" i="6"/>
  <c r="Q9" i="6"/>
  <c r="Q8" i="6"/>
  <c r="N7" i="6"/>
  <c r="Q7" i="6" s="1"/>
  <c r="N6" i="6"/>
  <c r="Q6" i="6" a="1"/>
  <c r="Q6" i="6" s="1"/>
  <c r="N9" i="6"/>
  <c r="N8" i="6" a="1"/>
  <c r="N8" i="6" s="1"/>
  <c r="N27" i="6" l="1"/>
  <c r="N28" i="6" s="1"/>
  <c r="T7" i="6" a="1"/>
  <c r="T7" i="6" s="1"/>
  <c r="T6" i="6" a="1"/>
  <c r="T6" i="6" s="1"/>
  <c r="T8" i="6" s="1"/>
  <c r="T9" i="6" s="1"/>
  <c r="N11" i="6"/>
  <c r="N1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<sst xmlns="http://schemas.openxmlformats.org/spreadsheetml/2006/main" count="2316" uniqueCount="1736">
  <si>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</si>
  <si>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</si>
  <si>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</si>
  <si>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</si>
  <si>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</si>
  <si>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</si>
  <si>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</si>
  <si>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</si>
  <si>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</si>
  <si>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</si>
  <si>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</si>
  <si>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</si>
  <si>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</si>
  <si>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</si>
  <si>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</si>
  <si>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</si>
  <si>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</si>
  <si>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</si>
  <si>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</si>
  <si>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</si>
  <si>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</si>
  <si>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</si>
  <si>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</si>
  <si>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</si>
  <si>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</si>
  <si>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</si>
  <si>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</si>
  <si>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</si>
  <si>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</si>
  <si>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</si>
  <si>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</si>
  <si>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</si>
  <si>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</si>
  <si>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</si>
  <si>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</si>
  <si>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</si>
  <si>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</si>
  <si>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</si>
  <si>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</si>
  <si>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</si>
  <si>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</si>
  <si>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</si>
  <si>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</si>
  <si>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</si>
  <si>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</si>
  <si>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</si>
  <si>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</si>
  <si>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</si>
  <si>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</si>
  <si>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</si>
  <si>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</si>
  <si>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</si>
  <si>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</si>
  <si>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</si>
  <si>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</si>
  <si>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</si>
  <si>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</si>
  <si>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</si>
  <si>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</si>
  <si>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</si>
  <si>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</si>
  <si>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</si>
  <si>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</si>
  <si>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</si>
  <si>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</si>
  <si>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</si>
  <si>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</si>
  <si>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</si>
  <si>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</si>
  <si>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</si>
  <si>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</si>
  <si>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</si>
  <si>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</si>
  <si>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</si>
  <si>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</si>
  <si>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</si>
  <si>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</si>
  <si>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</si>
  <si>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</si>
  <si>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</si>
  <si>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</si>
  <si>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</si>
  <si>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</si>
  <si>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</si>
  <si>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</si>
  <si>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</si>
  <si>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</si>
  <si>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</si>
  <si>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</si>
  <si>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</si>
  <si>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</si>
  <si>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</si>
  <si>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</si>
  <si>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</si>
  <si>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</si>
  <si>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</si>
  <si>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</si>
  <si>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</si>
  <si>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</si>
  <si>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</si>
  <si>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</si>
  <si>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</si>
  <si>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</si>
  <si>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</si>
  <si>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</si>
  <si>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</si>
  <si>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</si>
  <si>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</si>
  <si>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</si>
  <si>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</si>
  <si>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</si>
  <si>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</si>
  <si>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</si>
  <si>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</si>
  <si>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</si>
  <si>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</si>
  <si>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</si>
  <si>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</si>
  <si>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</si>
  <si>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</si>
  <si>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</si>
  <si>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</si>
  <si>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</si>
  <si>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</si>
  <si>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</si>
  <si>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</si>
  <si>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</si>
  <si>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</si>
  <si>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</si>
  <si>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</si>
  <si>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</si>
  <si>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</si>
  <si>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</si>
  <si>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</si>
  <si>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</si>
  <si>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</si>
  <si>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</si>
  <si>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</si>
  <si>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</si>
  <si>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</si>
  <si>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</si>
  <si>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</si>
  <si>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</si>
  <si>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</si>
  <si>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</si>
  <si>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</si>
  <si>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</si>
  <si>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</si>
  <si>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</si>
  <si>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</si>
  <si>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</si>
  <si>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</si>
  <si>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</si>
  <si>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</si>
  <si>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</si>
  <si>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</si>
  <si>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</si>
  <si>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</si>
  <si>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</si>
  <si>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</si>
  <si>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</si>
  <si>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</si>
  <si>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</si>
  <si>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</si>
  <si>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</si>
  <si>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</si>
  <si>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</si>
  <si>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</si>
  <si>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</si>
  <si>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</si>
  <si>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</si>
  <si>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</si>
  <si>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</si>
  <si>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</si>
  <si>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</si>
  <si>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</si>
  <si>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</si>
  <si>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</si>
  <si>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</si>
  <si>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</si>
  <si>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</si>
  <si>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</si>
  <si>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</si>
  <si>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</si>
  <si>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</si>
  <si>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</si>
  <si>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</si>
  <si>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</si>
  <si>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</si>
  <si>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</si>
  <si>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</si>
  <si>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</si>
  <si>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</si>
  <si>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</si>
  <si>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</si>
  <si>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</si>
  <si>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</si>
  <si>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</si>
  <si>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</si>
  <si>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</si>
  <si>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</si>
  <si>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</si>
  <si>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</si>
  <si>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</si>
  <si>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</si>
  <si>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</si>
  <si>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</si>
  <si>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</si>
  <si>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</si>
  <si>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</si>
  <si>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</si>
  <si>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</si>
  <si>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</si>
  <si>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</si>
  <si>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</si>
  <si>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</si>
  <si>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</si>
  <si>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</si>
  <si>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</si>
  <si>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</si>
  <si>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</si>
  <si>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</si>
  <si>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</si>
  <si>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</si>
  <si>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</si>
  <si>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</si>
  <si>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</si>
  <si>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</si>
  <si>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</si>
  <si>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</si>
  <si>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</si>
  <si>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</si>
  <si>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</si>
  <si>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</si>
  <si>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</si>
  <si>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</si>
  <si>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</si>
  <si>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</si>
  <si>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</si>
  <si>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</si>
  <si>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</si>
  <si>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</si>
  <si>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</si>
  <si>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</si>
  <si>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</si>
  <si>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</si>
  <si>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</si>
  <si>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</si>
  <si>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</si>
  <si>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</si>
  <si>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</si>
  <si>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</si>
  <si>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</si>
  <si>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</si>
  <si>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</si>
  <si>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</si>
  <si>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</si>
  <si>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</si>
  <si>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</si>
  <si>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</si>
  <si>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</si>
  <si>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</si>
  <si>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</si>
  <si>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</si>
  <si>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</si>
  <si>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</si>
  <si>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</si>
  <si>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</si>
  <si>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</si>
  <si>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</si>
  <si>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</si>
  <si>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</si>
  <si>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</si>
  <si>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</si>
  <si>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</si>
  <si>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</si>
  <si>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</si>
  <si>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</si>
  <si>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</si>
  <si>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</si>
  <si>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</si>
  <si>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</si>
  <si>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</si>
  <si>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</si>
  <si>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</si>
  <si>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</si>
  <si>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</si>
  <si>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</si>
  <si>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</si>
  <si>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</si>
  <si>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</si>
  <si>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</si>
  <si>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</si>
  <si>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</si>
  <si>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</si>
  <si>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</si>
  <si>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</si>
  <si>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</si>
  <si>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</si>
  <si>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</si>
  <si>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</si>
  <si>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</si>
  <si>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</si>
  <si>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</si>
  <si>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</si>
  <si>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</si>
  <si>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</si>
  <si>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</si>
  <si>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</si>
  <si>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</si>
  <si>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</si>
  <si>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</si>
  <si>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</si>
  <si>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</si>
  <si>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</si>
  <si>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</si>
  <si>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</si>
  <si>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</si>
  <si>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</si>
  <si>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</si>
  <si>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</si>
  <si>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</si>
  <si>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</si>
  <si>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</si>
  <si>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</si>
  <si>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</si>
  <si>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</si>
  <si>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</si>
  <si>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</si>
  <si>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</si>
  <si>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</si>
  <si>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</si>
  <si>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</si>
  <si>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</si>
  <si>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</si>
  <si>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</si>
  <si>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</si>
  <si>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</si>
  <si>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</si>
  <si>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</si>
  <si>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</si>
  <si>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</si>
  <si>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</si>
  <si>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</si>
  <si>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</si>
  <si>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</si>
  <si>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</si>
  <si>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</si>
  <si>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</si>
  <si>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</si>
  <si>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</si>
  <si>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</si>
  <si>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</si>
  <si>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</si>
  <si>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</si>
  <si>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</si>
  <si>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</si>
  <si>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</si>
  <si>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</si>
  <si>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</si>
  <si>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</si>
  <si>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</si>
  <si>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</si>
  <si>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</si>
  <si>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</si>
  <si>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</si>
  <si>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</si>
  <si>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</si>
  <si>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</si>
  <si>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</si>
  <si>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</si>
  <si>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</si>
  <si>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</si>
  <si>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</si>
  <si>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</si>
  <si>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</si>
  <si>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</si>
  <si>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</si>
  <si>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</si>
  <si>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</si>
  <si>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</si>
  <si>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</si>
  <si>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</si>
  <si>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</si>
  <si>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</si>
  <si>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</si>
  <si>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</si>
  <si>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</si>
  <si>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</si>
  <si>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</si>
  <si>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</si>
  <si>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</si>
  <si>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</si>
  <si>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</si>
  <si>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</si>
  <si>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</si>
  <si>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</si>
  <si>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</si>
  <si>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</si>
  <si>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</si>
  <si>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</si>
  <si>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</si>
  <si>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</si>
  <si>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</si>
  <si>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</si>
  <si>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</si>
  <si>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</si>
  <si>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</si>
  <si>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</si>
  <si>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</si>
  <si>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</si>
  <si>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</si>
  <si>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</si>
  <si>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</si>
  <si>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</si>
  <si>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</si>
  <si>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</si>
  <si>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</si>
  <si>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</si>
  <si>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</si>
  <si>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</si>
  <si>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</si>
  <si>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</si>
  <si>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</si>
  <si>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</si>
  <si>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</si>
  <si>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</si>
  <si>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</si>
  <si>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</si>
  <si>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</si>
  <si>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</si>
  <si>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</si>
  <si>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</si>
  <si>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</si>
  <si>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</si>
  <si>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</si>
  <si>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</si>
  <si>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</si>
  <si>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</si>
  <si>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</si>
  <si>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</si>
  <si>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</si>
  <si>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</si>
  <si>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</si>
  <si>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</si>
  <si>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</si>
  <si>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</si>
  <si>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</si>
  <si>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</si>
  <si>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</si>
  <si>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</si>
  <si>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</si>
  <si>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</si>
  <si>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</si>
  <si>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</si>
  <si>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</si>
  <si>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</si>
  <si>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</si>
  <si>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</si>
  <si>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</si>
  <si>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</si>
  <si>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</si>
  <si>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</si>
  <si>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</si>
  <si>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</si>
  <si>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</si>
  <si>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</si>
  <si>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</si>
  <si>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</si>
  <si>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</si>
  <si>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</si>
  <si>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</si>
  <si>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</si>
  <si>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</si>
  <si>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</si>
  <si>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</si>
  <si>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</si>
  <si>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</si>
  <si>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</si>
  <si>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</si>
  <si>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</si>
  <si>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</si>
  <si>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</si>
  <si>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</si>
  <si>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</si>
  <si>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</si>
  <si>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</si>
  <si>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</si>
  <si>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</si>
  <si>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</si>
  <si>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</si>
  <si>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</si>
  <si>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</si>
  <si>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</si>
  <si>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</si>
  <si>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</si>
  <si>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</si>
  <si>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</si>
  <si>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</si>
  <si>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</si>
  <si>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</si>
  <si>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</si>
  <si>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</si>
  <si>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</si>
  <si>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</si>
  <si>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</si>
  <si>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</si>
  <si>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</si>
  <si>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</si>
  <si>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</si>
  <si>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</si>
  <si>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</si>
  <si>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</si>
  <si>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</si>
  <si>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</si>
  <si>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</si>
  <si>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</si>
  <si>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</si>
  <si>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</si>
  <si>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</si>
  <si>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</si>
  <si>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</si>
  <si>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</si>
  <si>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</si>
  <si>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</si>
  <si>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</si>
  <si>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</si>
  <si>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</si>
  <si>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</si>
  <si>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</si>
  <si>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</si>
  <si>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</si>
  <si>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</si>
  <si>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</si>
  <si>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</si>
  <si>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</si>
  <si>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</si>
  <si>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</si>
  <si>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</si>
  <si>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</si>
  <si>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</si>
  <si>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</si>
  <si>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</si>
  <si>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</si>
  <si>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</si>
  <si>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</si>
  <si>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</si>
  <si>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</si>
  <si>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</si>
  <si>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</si>
  <si>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</si>
  <si>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</si>
  <si>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</si>
  <si>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</si>
  <si>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</si>
  <si>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</si>
  <si>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</si>
  <si>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</si>
  <si>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</si>
  <si>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</si>
  <si>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</si>
  <si>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</si>
  <si>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</si>
  <si>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</si>
  <si>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</si>
  <si>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</si>
  <si>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</si>
  <si>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</si>
  <si>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</si>
  <si>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</si>
  <si>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</si>
  <si>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</si>
  <si>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</si>
  <si>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</si>
  <si>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</si>
  <si>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</si>
  <si>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</si>
  <si>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</si>
  <si>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</si>
  <si>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</si>
  <si>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</si>
  <si>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</si>
  <si>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</si>
  <si>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</si>
  <si>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</si>
  <si>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</si>
  <si>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</si>
  <si>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</si>
  <si>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</si>
  <si>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</si>
  <si>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</si>
  <si>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</si>
  <si>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</si>
  <si>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</si>
  <si>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</si>
  <si>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</si>
  <si>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</si>
  <si>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</si>
  <si>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</si>
  <si>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</si>
  <si>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</si>
  <si>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</si>
  <si>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</si>
  <si>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</si>
  <si>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</si>
  <si>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</si>
  <si>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</si>
  <si>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</si>
  <si>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</si>
  <si>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</si>
  <si>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</si>
  <si>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</si>
  <si>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</si>
  <si>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</si>
  <si>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</si>
  <si>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</si>
  <si>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</si>
  <si>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</si>
  <si>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</si>
  <si>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</si>
  <si>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</si>
  <si>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</si>
  <si>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</si>
  <si>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</si>
  <si>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</si>
  <si>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</si>
  <si>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</si>
  <si>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</si>
  <si>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</si>
  <si>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</si>
  <si>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</si>
  <si>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</si>
  <si>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</si>
  <si>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</si>
  <si>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</si>
  <si>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</si>
  <si>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</si>
  <si>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</si>
  <si>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</si>
  <si>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</si>
  <si>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</si>
  <si>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</si>
  <si>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</si>
  <si>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</si>
  <si>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</si>
  <si>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</si>
  <si>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</si>
  <si>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</si>
  <si>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</si>
  <si>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</si>
  <si>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</si>
  <si>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</si>
  <si>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</si>
  <si>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</si>
  <si>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</si>
  <si>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</si>
  <si>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</si>
  <si>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</si>
  <si>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</si>
  <si>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</si>
  <si>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</si>
  <si>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</si>
  <si>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</si>
  <si>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</si>
  <si>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</si>
  <si>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</si>
  <si>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</si>
  <si>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</si>
  <si>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</si>
  <si>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</si>
  <si>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</si>
  <si>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</si>
  <si>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</si>
  <si>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</si>
  <si>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</si>
  <si>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</si>
  <si>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</si>
  <si>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</si>
  <si>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</si>
  <si>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</si>
  <si>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</si>
  <si>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</si>
  <si>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</si>
  <si>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</si>
  <si>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</si>
  <si>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</si>
  <si>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</si>
  <si>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</si>
  <si>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</si>
  <si>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</si>
  <si>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</si>
  <si>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</si>
  <si>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</si>
  <si>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</si>
  <si>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</si>
  <si>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</si>
  <si>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</si>
  <si>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</si>
  <si>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</si>
  <si>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</si>
  <si>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</si>
  <si>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</si>
  <si>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</si>
  <si>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</si>
  <si>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</si>
  <si>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</si>
  <si>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</si>
  <si>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</si>
  <si>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</si>
  <si>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</si>
  <si>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</si>
  <si>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</si>
  <si>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</si>
  <si>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</si>
  <si>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</si>
  <si>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</si>
  <si>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</si>
  <si>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</si>
  <si>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</si>
  <si>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</si>
  <si>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</si>
  <si>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</si>
  <si>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</si>
  <si>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</si>
  <si>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</si>
  <si>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</si>
  <si>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</si>
  <si>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</si>
  <si>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</si>
  <si>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</si>
  <si>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</si>
  <si>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</si>
  <si>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</si>
  <si>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</si>
  <si>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</si>
  <si>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</si>
  <si>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</si>
  <si>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</si>
  <si>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</si>
  <si>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</si>
  <si>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</si>
  <si>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</si>
  <si>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</si>
  <si>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</si>
  <si>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</si>
  <si>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</si>
  <si>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</si>
  <si>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</si>
  <si>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</si>
  <si>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</si>
  <si>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</si>
  <si>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</si>
  <si>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</si>
  <si>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</si>
  <si>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</si>
  <si>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</si>
  <si>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</si>
  <si>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</si>
  <si>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</si>
  <si>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</si>
  <si>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</si>
  <si>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</si>
  <si>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</si>
  <si>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</si>
  <si>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</si>
  <si>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</si>
  <si>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</si>
  <si>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</si>
  <si>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</si>
  <si>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</si>
  <si>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</si>
  <si>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</si>
  <si>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</si>
  <si>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</si>
  <si>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</si>
  <si>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</si>
  <si>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</si>
  <si>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</si>
  <si>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</si>
  <si>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</si>
  <si>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</si>
  <si>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</si>
  <si>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</si>
  <si>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</si>
  <si>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</si>
  <si>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</si>
  <si>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</si>
  <si>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</si>
  <si>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</si>
  <si>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</si>
  <si>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</si>
  <si>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</si>
  <si>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</si>
  <si>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</si>
  <si>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</si>
  <si>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</si>
  <si>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</si>
  <si>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</si>
  <si>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</si>
  <si>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</si>
  <si>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</si>
  <si>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</si>
  <si>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</si>
  <si>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</si>
  <si>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</si>
  <si>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</si>
  <si>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</si>
  <si>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</si>
  <si>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</si>
  <si>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</si>
  <si>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</si>
  <si>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</si>
  <si>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</si>
  <si>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</si>
  <si>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</si>
  <si>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</si>
  <si>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</si>
  <si>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</si>
  <si>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</si>
  <si>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</si>
  <si>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</si>
  <si>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</si>
  <si>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</si>
  <si>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</si>
  <si>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</si>
  <si>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</si>
  <si>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</si>
  <si>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</si>
  <si>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</si>
  <si>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</si>
  <si>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</si>
  <si>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</si>
  <si>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</si>
  <si>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</si>
  <si>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</si>
  <si>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</si>
  <si>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</si>
  <si>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</si>
  <si>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</si>
  <si>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</si>
  <si>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</si>
  <si>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</si>
  <si>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</si>
  <si>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</si>
  <si>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</si>
  <si>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</si>
  <si>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</si>
  <si>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</si>
  <si>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</si>
  <si>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</si>
  <si>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</si>
  <si>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</si>
  <si>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</si>
  <si>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</si>
  <si>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</si>
  <si>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</si>
  <si>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</si>
  <si>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</si>
  <si>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</si>
  <si>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</si>
  <si>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</si>
  <si>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</si>
  <si>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</si>
  <si>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</si>
  <si>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</si>
  <si>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</si>
  <si>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</si>
  <si>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</si>
  <si>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</si>
  <si>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</si>
  <si>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</si>
  <si>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</si>
  <si>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</si>
  <si>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</si>
  <si>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</si>
  <si>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</si>
  <si>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</si>
  <si>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</si>
  <si>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</si>
  <si>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</si>
  <si>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</si>
  <si>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</si>
  <si>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</si>
  <si>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</si>
  <si>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</si>
  <si>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</si>
  <si>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</si>
  <si>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</si>
  <si>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</si>
  <si>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</si>
  <si>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</si>
  <si>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</si>
  <si>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</si>
  <si>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</si>
  <si>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</si>
  <si>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</si>
  <si>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</si>
  <si>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</si>
  <si>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</si>
  <si>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</si>
  <si>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</si>
  <si>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</si>
  <si>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</si>
  <si>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</si>
  <si>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</si>
  <si>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</si>
  <si>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</si>
  <si>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</si>
  <si>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</si>
  <si>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</si>
  <si>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</si>
  <si>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</si>
  <si>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</si>
  <si>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</si>
  <si>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</si>
  <si>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</si>
  <si>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</si>
  <si>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</si>
  <si>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</si>
  <si>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</si>
  <si>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</si>
  <si>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</si>
  <si>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</si>
  <si>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</si>
  <si>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</si>
  <si>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</si>
  <si>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</si>
  <si>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</si>
  <si>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</si>
  <si>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</si>
  <si>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</si>
  <si>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</si>
  <si>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</si>
  <si>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</si>
  <si>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</si>
  <si>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</si>
  <si>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</si>
  <si>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</si>
  <si>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</si>
  <si>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</si>
  <si>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</si>
  <si>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</si>
  <si>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</si>
  <si>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</si>
  <si>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</si>
  <si>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</si>
  <si>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</si>
  <si>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</si>
  <si>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</si>
  <si>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</si>
  <si>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</si>
  <si>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</si>
  <si>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</si>
  <si>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</si>
  <si>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</si>
  <si>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</si>
  <si>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</si>
  <si>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</si>
  <si>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</si>
  <si>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</si>
  <si>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</si>
  <si>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</si>
  <si>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</si>
  <si>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</si>
  <si>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</si>
  <si>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</si>
  <si>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</si>
  <si>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</si>
  <si>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</si>
  <si>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</si>
  <si>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</si>
  <si>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</si>
  <si>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</si>
  <si>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</si>
  <si>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</si>
  <si>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</si>
  <si>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</si>
  <si>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</si>
  <si>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</si>
  <si>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</si>
  <si>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</si>
  <si>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</si>
  <si>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</si>
  <si>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</si>
  <si>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</si>
  <si>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</si>
  <si>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</si>
  <si>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</si>
  <si>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</si>
  <si>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</si>
  <si>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</si>
  <si>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</si>
  <si>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</si>
  <si>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</si>
  <si>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</si>
  <si>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</si>
  <si>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</si>
  <si>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</si>
  <si>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</si>
  <si>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</si>
  <si>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</si>
  <si>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</si>
  <si>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</si>
  <si>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</si>
  <si>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</si>
  <si>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</si>
  <si>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</si>
  <si>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</si>
  <si>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</si>
  <si>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</si>
  <si>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</si>
  <si>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</si>
  <si>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</si>
  <si>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</si>
  <si>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</si>
  <si>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</si>
  <si>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</si>
  <si>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</si>
  <si>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</si>
  <si>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</si>
  <si>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</si>
  <si>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</si>
  <si>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</si>
  <si>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</si>
  <si>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</si>
  <si>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</si>
  <si>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</si>
  <si>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</si>
  <si>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</si>
  <si>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</si>
  <si>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</si>
  <si>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</si>
  <si>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</si>
  <si>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</si>
  <si>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</si>
  <si>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</si>
  <si>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</si>
  <si>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</si>
  <si>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</si>
  <si>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</si>
  <si>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</si>
  <si>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</si>
  <si>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</si>
  <si>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</si>
  <si>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</si>
  <si>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</si>
  <si>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</si>
  <si>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</si>
  <si>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</si>
  <si>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</si>
  <si>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</si>
  <si>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</si>
  <si>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</si>
  <si>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</si>
  <si>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</si>
  <si>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</si>
  <si>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</si>
  <si>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</si>
  <si>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</si>
  <si>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</si>
  <si>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</si>
  <si>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</si>
  <si>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</si>
  <si>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</si>
  <si>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</si>
  <si>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</si>
  <si>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</si>
  <si>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</si>
  <si>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</si>
  <si>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</si>
  <si>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</si>
  <si>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</si>
  <si>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</si>
  <si>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</si>
  <si>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</si>
  <si>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</si>
  <si>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</si>
  <si>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</si>
  <si>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</si>
  <si>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</si>
  <si>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</si>
  <si>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</si>
  <si>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</si>
  <si>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</si>
  <si>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</si>
  <si>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</si>
  <si>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</si>
  <si>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</si>
  <si>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</si>
  <si>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</si>
  <si>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</si>
  <si>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</si>
  <si>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</si>
  <si>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</si>
  <si>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</si>
  <si>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</si>
  <si>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</si>
  <si>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</si>
  <si>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</si>
  <si>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</si>
  <si>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</si>
  <si>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</si>
  <si>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</si>
  <si>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</si>
  <si>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</si>
  <si>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</si>
  <si>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</si>
  <si>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</si>
  <si>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</si>
  <si>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</si>
  <si>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</si>
  <si>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</si>
  <si>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</si>
  <si>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</si>
  <si>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</si>
  <si>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</si>
  <si>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</si>
  <si>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</si>
  <si>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</si>
  <si>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</si>
  <si>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</si>
  <si>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</si>
  <si>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</si>
  <si>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</si>
  <si>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</si>
  <si>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</si>
  <si>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</si>
  <si>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</si>
  <si>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</si>
  <si>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</si>
  <si>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</si>
  <si>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</si>
  <si>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</si>
  <si>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</si>
  <si>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</si>
  <si>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</si>
  <si>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</si>
  <si>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</si>
  <si>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</si>
  <si>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</si>
  <si>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</si>
  <si>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</si>
  <si>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</si>
  <si>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</si>
  <si>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</si>
  <si>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</si>
  <si>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</si>
  <si>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</si>
  <si>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</si>
  <si>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</si>
  <si>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</si>
  <si>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</si>
  <si>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</si>
  <si>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</si>
  <si>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</si>
  <si>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</si>
  <si>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</si>
  <si>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</si>
  <si>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</si>
  <si>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</si>
  <si>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</si>
  <si>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</si>
  <si>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</si>
  <si>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</si>
  <si>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</si>
  <si>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</si>
  <si>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</si>
  <si>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</si>
  <si>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</si>
  <si>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</si>
  <si>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</si>
  <si>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</si>
  <si>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</si>
  <si>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</si>
  <si>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</si>
  <si>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</si>
  <si>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</si>
  <si>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</si>
  <si>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</si>
  <si>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</si>
  <si>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</si>
  <si>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</si>
  <si>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</si>
  <si>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</si>
  <si>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</si>
  <si>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</si>
  <si>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</si>
  <si>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</si>
  <si>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</si>
  <si>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</si>
  <si>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</si>
  <si>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</si>
  <si>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</si>
  <si>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</si>
  <si>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</si>
  <si>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</si>
  <si>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</si>
  <si>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</si>
  <si>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</si>
  <si>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</si>
  <si>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</si>
  <si>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</si>
  <si>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</si>
  <si>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</si>
  <si>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</si>
  <si>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</si>
  <si>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</si>
  <si>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</si>
  <si>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</si>
  <si>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</si>
  <si>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</si>
  <si>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</si>
  <si>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</si>
  <si>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</si>
  <si>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</si>
  <si>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</si>
  <si>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</si>
  <si>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</si>
  <si>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</si>
  <si>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</si>
  <si>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</si>
  <si>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</si>
  <si>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</si>
  <si>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</si>
  <si>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</si>
  <si>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</si>
  <si>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</si>
  <si>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</si>
  <si>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</si>
  <si>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</si>
  <si>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</si>
  <si>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</si>
  <si>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</si>
  <si>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</si>
  <si>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</si>
  <si>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</si>
  <si>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</si>
  <si>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</si>
  <si>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</si>
  <si>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</si>
  <si>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</si>
  <si>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</si>
  <si>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</si>
  <si>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</si>
  <si>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</si>
  <si>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</si>
  <si>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</si>
  <si>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</si>
  <si>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</si>
  <si>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</si>
  <si>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</si>
  <si>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</si>
  <si>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</si>
  <si>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</si>
  <si>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</si>
  <si>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</si>
  <si>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</si>
  <si>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</si>
  <si>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</si>
  <si>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</si>
  <si>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</si>
  <si>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</si>
  <si>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</si>
  <si>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</si>
  <si>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</si>
  <si>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</si>
  <si>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</si>
  <si>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</si>
  <si>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</si>
  <si>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</si>
  <si>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</si>
  <si>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</si>
  <si>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</si>
  <si>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</si>
  <si>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</si>
  <si>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</si>
  <si>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</si>
  <si>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</si>
  <si>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</si>
  <si>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</si>
  <si>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</si>
  <si>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</si>
  <si>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</si>
  <si>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</si>
  <si>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</si>
  <si>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</si>
  <si>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</si>
  <si>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</si>
  <si>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</si>
  <si>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</si>
  <si>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</si>
  <si>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</si>
  <si>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</si>
  <si>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</si>
  <si>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</si>
  <si>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</si>
  <si>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</si>
  <si>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</si>
  <si>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</si>
  <si>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</si>
  <si>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</si>
  <si>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</si>
  <si>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</si>
  <si>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</si>
  <si>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</si>
  <si>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</si>
  <si>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</si>
  <si>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</si>
  <si>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</si>
  <si>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</si>
  <si>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</si>
  <si>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</si>
  <si>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</si>
  <si>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</si>
  <si>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</si>
  <si>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</si>
  <si>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</si>
  <si>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</si>
  <si>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</si>
  <si>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</si>
  <si>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</si>
  <si>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</si>
  <si>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</si>
  <si>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</si>
  <si>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</si>
  <si>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</si>
  <si>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</si>
  <si>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</si>
  <si>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</si>
  <si>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</si>
  <si>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</si>
  <si>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</si>
  <si>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</si>
  <si>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</si>
  <si>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</si>
  <si>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</si>
  <si>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</si>
  <si>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</si>
  <si>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</si>
  <si>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</si>
  <si>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</si>
  <si>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</si>
  <si>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</si>
  <si>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</si>
  <si>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</si>
  <si>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</si>
  <si>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</si>
  <si>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</si>
  <si>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</si>
  <si>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</si>
  <si>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</si>
  <si>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</si>
  <si>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</si>
  <si>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</si>
  <si>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</si>
  <si>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</si>
  <si>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</si>
  <si>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</si>
  <si>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</si>
  <si>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</si>
  <si>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</si>
  <si>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</si>
  <si>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</si>
  <si>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</si>
  <si>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</si>
  <si>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</si>
  <si>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</si>
  <si>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</si>
  <si>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</si>
  <si>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</si>
  <si>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</si>
  <si>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</si>
  <si>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</si>
  <si>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</si>
  <si>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</si>
  <si>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</si>
  <si>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</si>
  <si>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</si>
  <si>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</si>
  <si>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</si>
  <si>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</si>
  <si>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</si>
  <si>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</si>
  <si>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</si>
  <si>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</si>
  <si>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</si>
  <si>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</si>
  <si>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</si>
  <si>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</si>
  <si>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</si>
  <si>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</si>
  <si>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</si>
  <si>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</si>
  <si>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</si>
  <si>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</si>
  <si>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</si>
  <si>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</si>
  <si>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</si>
  <si>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</si>
  <si>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</si>
  <si>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</si>
  <si>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</si>
  <si>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</si>
  <si>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</si>
  <si>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</si>
  <si>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</si>
  <si>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</si>
  <si>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</si>
  <si>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</si>
  <si>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</si>
  <si>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</si>
  <si>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</si>
  <si>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</si>
  <si>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</si>
  <si>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</si>
  <si>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</si>
  <si>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</si>
  <si>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</si>
  <si>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</si>
  <si>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</si>
  <si>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</si>
  <si>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</si>
  <si>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</si>
  <si>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</si>
  <si>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</si>
  <si>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</si>
  <si>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</si>
  <si>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</si>
  <si>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</si>
  <si>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</si>
  <si>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</si>
  <si>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</si>
  <si>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</si>
  <si>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</si>
  <si>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</si>
  <si>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</si>
  <si>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</si>
  <si>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</si>
  <si>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</si>
  <si>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</si>
  <si>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</si>
  <si>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</si>
  <si>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</si>
  <si>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</si>
  <si>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</si>
  <si>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</si>
  <si>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</si>
  <si>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</si>
  <si>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</si>
  <si>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</si>
  <si>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</si>
  <si>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</si>
  <si>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</si>
  <si>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</si>
  <si>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</si>
  <si>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</si>
  <si>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</si>
  <si>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</si>
  <si>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</si>
  <si>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</si>
  <si>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</si>
  <si>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</si>
  <si>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</si>
  <si>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</si>
  <si>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</si>
  <si>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</si>
  <si>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</si>
  <si>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</si>
  <si>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</si>
  <si>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</si>
  <si>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</si>
  <si>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</si>
  <si>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</si>
  <si>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</si>
  <si>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</si>
  <si>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</si>
  <si>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</si>
  <si>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</si>
  <si>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</si>
  <si>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</si>
  <si>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</si>
  <si>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</si>
  <si>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</si>
  <si>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</si>
  <si>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</si>
  <si>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</si>
  <si>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</si>
  <si>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</si>
  <si>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</si>
  <si>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</si>
  <si>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</si>
  <si>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</si>
  <si>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</si>
  <si>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</si>
  <si>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</si>
  <si>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</si>
  <si>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</si>
  <si>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</si>
  <si>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</si>
  <si>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</si>
  <si>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</si>
  <si>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</si>
  <si>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</si>
  <si>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</si>
  <si>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</si>
  <si>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</si>
  <si>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</si>
  <si>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</si>
  <si>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</si>
  <si>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</si>
  <si>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</si>
  <si>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</si>
  <si>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</si>
  <si>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</si>
  <si>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</si>
  <si>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</si>
  <si>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</si>
  <si>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</si>
  <si>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</si>
  <si>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</si>
  <si>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</si>
  <si>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</si>
  <si>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</si>
  <si>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</si>
  <si>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</si>
  <si>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</si>
  <si>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</si>
  <si>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</si>
  <si>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</si>
  <si>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</si>
  <si>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</si>
  <si>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</si>
  <si>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</si>
  <si>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</si>
  <si>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</si>
  <si>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</si>
  <si>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</si>
  <si>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</si>
  <si>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</si>
  <si>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</si>
  <si>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</si>
  <si>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</si>
  <si>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</si>
  <si>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</si>
  <si>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</si>
  <si>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</si>
  <si>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</si>
  <si>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</si>
  <si>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</si>
  <si>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</si>
  <si>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</si>
  <si>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</si>
  <si>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</si>
  <si>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</si>
  <si>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</si>
  <si>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</si>
  <si>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</si>
  <si>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</si>
  <si>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</si>
  <si>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</si>
  <si>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</si>
  <si>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</si>
  <si>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</si>
  <si>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</si>
  <si>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</si>
  <si>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</si>
  <si>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</si>
  <si>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</si>
  <si>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</si>
  <si>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</si>
  <si>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</si>
  <si>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</si>
  <si>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</si>
  <si>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</si>
  <si>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</si>
  <si>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</si>
  <si>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</si>
  <si>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</si>
  <si>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</si>
  <si>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</si>
  <si>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</si>
  <si>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</si>
  <si>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</si>
  <si>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</si>
  <si>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</si>
  <si>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</si>
  <si>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</si>
  <si>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</si>
  <si>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</si>
  <si>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</si>
  <si>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</si>
  <si>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</si>
  <si>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</si>
  <si>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</si>
  <si>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</si>
  <si>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</si>
  <si>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</si>
  <si>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</si>
  <si>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</si>
  <si>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</si>
  <si>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</si>
  <si>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</si>
  <si>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</si>
  <si>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</si>
  <si>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</si>
  <si>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</si>
  <si>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</si>
  <si>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</si>
  <si>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</si>
  <si>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</si>
  <si>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</si>
  <si>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</si>
  <si>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</si>
  <si>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</si>
  <si>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</si>
  <si>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</si>
  <si>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</si>
  <si>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</si>
  <si>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</si>
  <si>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</si>
  <si>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</si>
  <si>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</si>
  <si>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</si>
  <si>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</si>
  <si>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</si>
  <si>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</si>
  <si>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</si>
  <si>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</si>
  <si>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</si>
  <si>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</si>
  <si>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</si>
  <si>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</si>
  <si>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</si>
  <si>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</si>
  <si>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</si>
  <si>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</si>
  <si>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</si>
  <si>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</si>
  <si>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</si>
  <si>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</si>
  <si>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</si>
  <si>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</si>
  <si>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</si>
  <si>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</si>
  <si>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</si>
  <si>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</si>
  <si>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</si>
  <si>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</si>
  <si>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</si>
  <si>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</si>
  <si>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</si>
  <si>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</si>
  <si>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</si>
  <si>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</si>
  <si>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</si>
  <si>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</si>
  <si>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</si>
  <si>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</si>
  <si>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</si>
  <si>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</si>
  <si>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</si>
  <si>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</si>
  <si>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</si>
  <si>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</si>
  <si>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</si>
  <si>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</si>
  <si>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</si>
  <si>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</si>
  <si>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</si>
  <si>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</si>
  <si>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</si>
  <si>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</si>
  <si>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</si>
  <si>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</si>
  <si>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</si>
  <si>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</si>
  <si>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</si>
  <si>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</si>
  <si>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</si>
  <si>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</si>
  <si>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</si>
  <si>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</si>
  <si>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</si>
  <si>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</si>
  <si>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</si>
  <si>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</si>
  <si>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</si>
  <si>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</si>
  <si>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</si>
  <si>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</si>
  <si>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</si>
  <si>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</si>
  <si>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</si>
  <si>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</si>
  <si>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</si>
  <si>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</si>
  <si>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</si>
  <si>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</si>
  <si>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</si>
  <si>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</si>
  <si>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</si>
  <si>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</si>
  <si>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</si>
  <si>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</si>
  <si>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</si>
  <si>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Pembentukan Model</t>
  </si>
  <si>
    <t>Y = IPM</t>
  </si>
  <si>
    <t>sum y</t>
  </si>
  <si>
    <t>sum x6</t>
  </si>
  <si>
    <t>n</t>
  </si>
  <si>
    <t>sum x6^2</t>
  </si>
  <si>
    <t>sum (x6*y)</t>
  </si>
  <si>
    <t>sum (x6)^2</t>
  </si>
  <si>
    <t>mean y</t>
  </si>
  <si>
    <t>mean x6</t>
  </si>
  <si>
    <t>Model Linier --&gt;</t>
  </si>
  <si>
    <t>Y^ = Y topi</t>
  </si>
  <si>
    <t>Y^ = 79,7117 - 0,82218X1</t>
  </si>
  <si>
    <t>X6 = Pertumbuhan Ekonomi Sektor Industri Pengolahan</t>
  </si>
  <si>
    <t>X1 = Rata-Rata Lama Sekolah</t>
  </si>
  <si>
    <t>sum x1</t>
  </si>
  <si>
    <t>sum (x1*y)</t>
  </si>
  <si>
    <t>sum x1^2</t>
  </si>
  <si>
    <t>sum (x1)^2</t>
  </si>
  <si>
    <t>mean x1</t>
  </si>
  <si>
    <t xml:space="preserve">Model Linier --&gt; </t>
  </si>
  <si>
    <t>Mencari B1 dan B0</t>
  </si>
  <si>
    <t>(xi - xbar)</t>
  </si>
  <si>
    <t>(yi - ybar)</t>
  </si>
  <si>
    <t>Sxy</t>
  </si>
  <si>
    <t>Sxx</t>
  </si>
  <si>
    <t>B1 topi</t>
  </si>
  <si>
    <t>B0 topi</t>
  </si>
  <si>
    <t>b1 topi</t>
  </si>
  <si>
    <t>b0 topi</t>
  </si>
  <si>
    <t>Y^ = 50,3533 + 2,87498X1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</si>
</sst>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0" fillId="7" borderId="0" xfId="0" applyFill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X120"/>
  <sheetViews>
    <sheetView tabSelected="1" topLeftCell="D1" zoomScale="90" zoomScaleNormal="140" workbookViewId="0">
      <selection activeCell="P21" sqref="P21"/>
    </sheetView>
  </sheetViews>
  <sheetFormatPr defaultRowHeight="12.5" x14ac:dyDescent="0.25"/>
  <cols>
    <col min="1" max="1" width="29.81640625" customWidth="1"/>
    <col min="13" max="13" width="9.54296875" customWidth="1"/>
    <col min="16" max="16" width="10.90625" customWidth="1"/>
    <col min="17" max="17" width="8" customWidth="1"/>
  </cols>
  <sheetData>
    <row r="1" spans="1:24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1" t="s">
        <v>12</v>
      </c>
      <c r="M1" s="17" t="s">
        <v>1705</v>
      </c>
      <c r="N1" s="17"/>
      <c r="S1" t="s">
        <v>1726</v>
      </c>
      <c r="W1" t="s">
        <v>1727</v>
      </c>
      <c r="X1" t="s">
        <v>1728</v>
      </c>
    </row>
    <row r="2" spans="1:24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  <c r="M2" t="s">
        <v>1706</v>
      </c>
      <c r="S2" t="s">
        <v>1706</v>
      </c>
      <c r="W2">
        <f>C2-$Q$25</f>
        <v>0.42764705882353304</v>
      </c>
      <c r="X2">
        <f>B2-$Q$24</f>
        <v>0.94386554621844709</v>
      </c>
    </row>
    <row r="3" spans="1:24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  <c r="M3" s="17" t="s">
        <v>1718</v>
      </c>
      <c r="N3" s="17"/>
      <c r="O3" s="17"/>
      <c r="P3" s="17"/>
      <c r="Q3" s="17"/>
      <c r="S3" s="17" t="s">
        <v>1719</v>
      </c>
      <c r="T3" s="17"/>
      <c r="U3" s="17"/>
      <c r="W3">
        <f t="shared" ref="W3:W66" si="0">C3-$Q$25</f>
        <v>3.1176470588235325</v>
      </c>
      <c r="X3">
        <f t="shared" ref="X3:X66" si="1">B3-$Q$24</f>
        <v>11.823865546218443</v>
      </c>
    </row>
    <row r="4" spans="1:24" x14ac:dyDescent="0.25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W4">
        <f t="shared" si="0"/>
        <v>3.1576470588235335</v>
      </c>
      <c r="X4">
        <f t="shared" si="1"/>
        <v>9.0138655462184545</v>
      </c>
    </row>
    <row r="5" spans="1:24" x14ac:dyDescent="0.25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W5">
        <f t="shared" si="0"/>
        <v>2.7776470588235327</v>
      </c>
      <c r="X5">
        <f t="shared" si="1"/>
        <v>8.0038655462184494</v>
      </c>
    </row>
    <row r="6" spans="1:24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  <c r="M6" t="s">
        <v>1707</v>
      </c>
      <c r="N6">
        <f>SUM(B2:B120)</f>
        <v>9013.7900000000045</v>
      </c>
      <c r="P6" t="s">
        <v>1710</v>
      </c>
      <c r="Q6" cm="1">
        <f t="array" ref="Q6">SUM(H2:H120^2)</f>
        <v>3325.6097999999993</v>
      </c>
      <c r="S6" t="s">
        <v>1729</v>
      </c>
      <c r="T6" cm="1">
        <f t="array" ref="T6">SUM((W2:W120)*(X2:X120))</f>
        <v>917.66998235294102</v>
      </c>
      <c r="W6">
        <f t="shared" si="0"/>
        <v>2.4076470588235335</v>
      </c>
      <c r="X6">
        <f t="shared" si="1"/>
        <v>8.6538655462184551</v>
      </c>
    </row>
    <row r="7" spans="1:24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  <c r="M7" t="s">
        <v>1708</v>
      </c>
      <c r="N7">
        <f>SUM(H2:H120)</f>
        <v>573.96</v>
      </c>
      <c r="P7" t="s">
        <v>1712</v>
      </c>
      <c r="Q7">
        <f>N7^2</f>
        <v>329430.08160000003</v>
      </c>
      <c r="S7" t="s">
        <v>1730</v>
      </c>
      <c r="T7" cm="1">
        <f t="array" ref="T7">SUM(W2:W120^2)</f>
        <v>319.19214117647056</v>
      </c>
      <c r="W7">
        <f t="shared" si="0"/>
        <v>2.0176470588235329</v>
      </c>
      <c r="X7">
        <f t="shared" si="1"/>
        <v>6.3838655462184448</v>
      </c>
    </row>
    <row r="8" spans="1:24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  <c r="M8" t="s">
        <v>1711</v>
      </c>
      <c r="N8" cm="1">
        <f t="array" ref="N8">SUM(H2:H120 * B2:B120)</f>
        <v>43017.059399999998</v>
      </c>
      <c r="P8" t="s">
        <v>1713</v>
      </c>
      <c r="Q8">
        <f>AVERAGE(B2:B120)</f>
        <v>75.746134453781551</v>
      </c>
      <c r="S8" t="s">
        <v>1731</v>
      </c>
      <c r="T8" s="16">
        <f>T6/T7</f>
        <v>2.8749767427563082</v>
      </c>
      <c r="W8">
        <f t="shared" si="0"/>
        <v>5.7647058823533825E-2</v>
      </c>
      <c r="X8">
        <f t="shared" si="1"/>
        <v>-2.1161344537815552</v>
      </c>
    </row>
    <row r="9" spans="1:24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  <c r="M9" t="s">
        <v>1709</v>
      </c>
      <c r="N9">
        <f>COUNT(H2:H120)</f>
        <v>119</v>
      </c>
      <c r="P9" t="s">
        <v>1714</v>
      </c>
      <c r="Q9">
        <f>AVERAGE(H2:H120)</f>
        <v>4.8231932773109243</v>
      </c>
      <c r="S9" t="s">
        <v>1732</v>
      </c>
      <c r="T9" s="16">
        <f>Q24 - T8*Q25</f>
        <v>50.353325164083934</v>
      </c>
      <c r="W9">
        <f t="shared" si="0"/>
        <v>-1.0823529411764667</v>
      </c>
      <c r="X9">
        <f t="shared" si="1"/>
        <v>-5.5661344537815438</v>
      </c>
    </row>
    <row r="10" spans="1:24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  <c r="W10">
        <f t="shared" si="0"/>
        <v>-0.9223529411764666</v>
      </c>
      <c r="X10">
        <f t="shared" si="1"/>
        <v>-6.8561344537815501</v>
      </c>
    </row>
    <row r="11" spans="1:24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  <c r="M11" t="s">
        <v>1733</v>
      </c>
      <c r="N11">
        <f>(N8-(N7*(N6/N9)))/(Q6-Q7/N9)</f>
        <v>-0.82217894916966361</v>
      </c>
      <c r="W11">
        <f t="shared" si="0"/>
        <v>0.61764705882353255</v>
      </c>
      <c r="X11">
        <f t="shared" si="1"/>
        <v>-1.1561344537815472</v>
      </c>
    </row>
    <row r="12" spans="1:24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  <c r="M12" t="s">
        <v>1734</v>
      </c>
      <c r="N12">
        <f>Q8-N11*Q9</f>
        <v>79.71166243416323</v>
      </c>
      <c r="P12" t="s">
        <v>1716</v>
      </c>
      <c r="W12">
        <f t="shared" si="0"/>
        <v>-0.52235294117646625</v>
      </c>
      <c r="X12">
        <f t="shared" si="1"/>
        <v>-5.836134453781554</v>
      </c>
    </row>
    <row r="13" spans="1:24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  <c r="W13">
        <f t="shared" si="0"/>
        <v>-0.51235294117646646</v>
      </c>
      <c r="X13">
        <f t="shared" si="1"/>
        <v>-5.7661344537815467</v>
      </c>
    </row>
    <row r="14" spans="1:24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  <c r="M14" s="17" t="s">
        <v>1715</v>
      </c>
      <c r="N14" s="17"/>
      <c r="O14" s="18" t="s">
        <v>1717</v>
      </c>
      <c r="P14" s="18"/>
      <c r="Q14" s="18"/>
      <c r="W14">
        <f t="shared" si="0"/>
        <v>-0.50235294117646667</v>
      </c>
      <c r="X14">
        <f t="shared" si="1"/>
        <v>-2.1061344537815501</v>
      </c>
    </row>
    <row r="15" spans="1:24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  <c r="W15">
        <f t="shared" si="0"/>
        <v>-0.65235294117646703</v>
      </c>
      <c r="X15">
        <f t="shared" si="1"/>
        <v>-4.1861344537815484</v>
      </c>
    </row>
    <row r="16" spans="1:24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  <c r="W16">
        <f t="shared" si="0"/>
        <v>-0.77235294117646625</v>
      </c>
      <c r="X16">
        <f t="shared" si="1"/>
        <v>-3.4461344537815535</v>
      </c>
    </row>
    <row r="17" spans="1:24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  <c r="W17">
        <f t="shared" si="0"/>
        <v>-0.84235294117646653</v>
      </c>
      <c r="X17">
        <f t="shared" si="1"/>
        <v>-4.3761344537815461</v>
      </c>
    </row>
    <row r="18" spans="1:24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  <c r="M18" s="17" t="s">
        <v>1705</v>
      </c>
      <c r="N18" s="17"/>
      <c r="W18">
        <f t="shared" si="0"/>
        <v>2.7647058823532689E-2</v>
      </c>
      <c r="X18">
        <f t="shared" si="1"/>
        <v>-1.1761344537815575</v>
      </c>
    </row>
    <row r="19" spans="1:24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  <c r="M19" t="s">
        <v>1706</v>
      </c>
      <c r="W19">
        <f t="shared" si="0"/>
        <v>-1.3823529411764666</v>
      </c>
      <c r="X19">
        <f t="shared" si="1"/>
        <v>-5.0261344537815518</v>
      </c>
    </row>
    <row r="20" spans="1:24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  <c r="M20" s="17" t="s">
        <v>1719</v>
      </c>
      <c r="N20" s="17"/>
      <c r="O20" s="17"/>
      <c r="T20" s="17"/>
      <c r="U20" s="17"/>
      <c r="V20" s="17"/>
      <c r="W20">
        <f t="shared" si="0"/>
        <v>-0.95235294117646685</v>
      </c>
      <c r="X20">
        <f t="shared" si="1"/>
        <v>-3.6961344537815535</v>
      </c>
    </row>
    <row r="21" spans="1:24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  <c r="W21">
        <f t="shared" si="0"/>
        <v>-0.43235294117646639</v>
      </c>
      <c r="X21">
        <f t="shared" si="1"/>
        <v>-1.7561344537815557</v>
      </c>
    </row>
    <row r="22" spans="1:24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  <c r="M22" t="s">
        <v>1707</v>
      </c>
      <c r="N22">
        <f>SUM(B2:B120)</f>
        <v>9013.7900000000045</v>
      </c>
      <c r="P22" t="s">
        <v>1722</v>
      </c>
      <c r="Q22" cm="1">
        <f t="array" ref="Q22">SUM(C2:C120^2)</f>
        <v>9602.436700000002</v>
      </c>
      <c r="W22">
        <f t="shared" si="0"/>
        <v>-0.2923529411764676</v>
      </c>
      <c r="X22">
        <f t="shared" si="1"/>
        <v>-1.9261344537815575</v>
      </c>
    </row>
    <row r="23" spans="1:24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  <c r="M23" t="s">
        <v>1720</v>
      </c>
      <c r="N23">
        <f>SUM(C2:C120)</f>
        <v>1051.0499999999995</v>
      </c>
      <c r="P23" t="s">
        <v>1723</v>
      </c>
      <c r="Q23">
        <f>N23^2</f>
        <v>1104706.1024999989</v>
      </c>
      <c r="W23">
        <f t="shared" si="0"/>
        <v>1.3576470588235328</v>
      </c>
      <c r="X23">
        <f t="shared" si="1"/>
        <v>1.0538655462184465</v>
      </c>
    </row>
    <row r="24" spans="1:24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  <c r="M24" t="s">
        <v>1721</v>
      </c>
      <c r="N24" cm="1">
        <f t="array" ref="N24">SUM(C2:C120 * B2:B120)</f>
        <v>80530.6446</v>
      </c>
      <c r="P24" t="s">
        <v>1713</v>
      </c>
      <c r="Q24">
        <f>AVERAGE(B2:B120)</f>
        <v>75.746134453781551</v>
      </c>
      <c r="W24">
        <f t="shared" si="0"/>
        <v>-0.26235294117646646</v>
      </c>
      <c r="X24">
        <f t="shared" si="1"/>
        <v>-4.9761344537815546</v>
      </c>
    </row>
    <row r="25" spans="1:24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  <c r="M25" t="s">
        <v>1709</v>
      </c>
      <c r="N25">
        <f>COUNT(B2:B120)</f>
        <v>119</v>
      </c>
      <c r="P25" t="s">
        <v>1724</v>
      </c>
      <c r="Q25">
        <f>AVERAGE(C2:C120)</f>
        <v>8.8323529411764667</v>
      </c>
      <c r="W25">
        <f t="shared" si="0"/>
        <v>-0.3623529411764661</v>
      </c>
      <c r="X25">
        <f t="shared" si="1"/>
        <v>-4.7161344537815495</v>
      </c>
    </row>
    <row r="26" spans="1:24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  <c r="W26">
        <f t="shared" si="0"/>
        <v>1.9576470588235324</v>
      </c>
      <c r="X26">
        <f t="shared" si="1"/>
        <v>3.2838655462184505</v>
      </c>
    </row>
    <row r="27" spans="1:24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  <c r="M27" t="s">
        <v>1733</v>
      </c>
      <c r="N27">
        <f>(N24 - N23*(N22/N25))/(Q22 - (Q23/N25))</f>
        <v>2.8749767427561883</v>
      </c>
      <c r="W27">
        <f t="shared" si="0"/>
        <v>1.6076470588235328</v>
      </c>
      <c r="X27">
        <f t="shared" si="1"/>
        <v>1.9438655462184471</v>
      </c>
    </row>
    <row r="28" spans="1:24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  <c r="M28" t="s">
        <v>1734</v>
      </c>
      <c r="N28">
        <f>Q24 - N27*Q25</f>
        <v>50.353325164084993</v>
      </c>
      <c r="W28">
        <f t="shared" si="0"/>
        <v>2.217647058823534</v>
      </c>
      <c r="X28">
        <f t="shared" si="1"/>
        <v>8.0038655462184494</v>
      </c>
    </row>
    <row r="29" spans="1:24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  <c r="W29">
        <f t="shared" si="0"/>
        <v>1.8276470588235334</v>
      </c>
      <c r="X29">
        <f t="shared" si="1"/>
        <v>2.3438655462184528</v>
      </c>
    </row>
    <row r="30" spans="1:24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  <c r="M30" s="17" t="s">
        <v>1725</v>
      </c>
      <c r="N30" s="17"/>
      <c r="O30" s="18" t="s">
        <v>1735</v>
      </c>
      <c r="P30" s="18"/>
      <c r="Q30" s="18"/>
      <c r="W30">
        <f t="shared" si="0"/>
        <v>3.0676470588235336</v>
      </c>
      <c r="X30">
        <f t="shared" si="1"/>
        <v>7.8038655462184465</v>
      </c>
    </row>
    <row r="31" spans="1:24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  <c r="W31">
        <f t="shared" si="0"/>
        <v>2.7476470588235333</v>
      </c>
      <c r="X31">
        <f t="shared" si="1"/>
        <v>7.3038655462184465</v>
      </c>
    </row>
    <row r="32" spans="1:24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  <c r="W32">
        <f t="shared" si="0"/>
        <v>2.6376470588235339</v>
      </c>
      <c r="X32">
        <f t="shared" si="1"/>
        <v>4.5538655462184465</v>
      </c>
    </row>
    <row r="33" spans="1:24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  <c r="W33">
        <f t="shared" si="0"/>
        <v>1.0276470588235327</v>
      </c>
      <c r="X33">
        <f t="shared" si="1"/>
        <v>0.2838655462184505</v>
      </c>
    </row>
    <row r="34" spans="1:24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  <c r="W34">
        <f t="shared" si="0"/>
        <v>0.31764705882353361</v>
      </c>
      <c r="X34">
        <f t="shared" si="1"/>
        <v>-0.73613445378154552</v>
      </c>
    </row>
    <row r="35" spans="1:24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  <c r="W35">
        <f t="shared" si="0"/>
        <v>-1.4323529411764664</v>
      </c>
      <c r="X35">
        <f t="shared" si="1"/>
        <v>-3.1961344537815535</v>
      </c>
    </row>
    <row r="36" spans="1:24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  <c r="W36">
        <f t="shared" si="0"/>
        <v>-0.9223529411764666</v>
      </c>
      <c r="X36">
        <f t="shared" si="1"/>
        <v>-1.2261344537815546</v>
      </c>
    </row>
    <row r="37" spans="1:24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  <c r="W37">
        <f t="shared" si="0"/>
        <v>-1.4723529411764664</v>
      </c>
      <c r="X37">
        <f t="shared" si="1"/>
        <v>-4.7761344537815518</v>
      </c>
    </row>
    <row r="38" spans="1:24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  <c r="W38">
        <f t="shared" si="0"/>
        <v>-1.9623529411764666</v>
      </c>
      <c r="X38">
        <f t="shared" si="1"/>
        <v>-6.1261344537815461</v>
      </c>
    </row>
    <row r="39" spans="1:24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  <c r="W39">
        <f t="shared" si="0"/>
        <v>-0.96235294117646664</v>
      </c>
      <c r="X39">
        <f t="shared" si="1"/>
        <v>-3.2661344537815467</v>
      </c>
    </row>
    <row r="40" spans="1:24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  <c r="W40">
        <f t="shared" si="0"/>
        <v>-0.18235294117646639</v>
      </c>
      <c r="X40">
        <f t="shared" si="1"/>
        <v>-0.58613445378155404</v>
      </c>
    </row>
    <row r="41" spans="1:24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  <c r="W41">
        <f t="shared" si="0"/>
        <v>-1.9323529411764664</v>
      </c>
      <c r="X41">
        <f t="shared" si="1"/>
        <v>-5.1161344537815552</v>
      </c>
    </row>
    <row r="42" spans="1:24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  <c r="W42">
        <f t="shared" si="0"/>
        <v>-1.0023529411764667</v>
      </c>
      <c r="X42">
        <f t="shared" si="1"/>
        <v>-3.6461344537815563</v>
      </c>
    </row>
    <row r="43" spans="1:24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  <c r="W43">
        <f t="shared" si="0"/>
        <v>-0.66235294117646681</v>
      </c>
      <c r="X43">
        <f t="shared" si="1"/>
        <v>0.21386554621844311</v>
      </c>
    </row>
    <row r="44" spans="1:24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  <c r="W44">
        <f t="shared" si="0"/>
        <v>0.4576470588235324</v>
      </c>
      <c r="X44">
        <f t="shared" si="1"/>
        <v>2.413865546218446</v>
      </c>
    </row>
    <row r="45" spans="1:24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  <c r="W45">
        <f t="shared" si="0"/>
        <v>1.177647058823533</v>
      </c>
      <c r="X45">
        <f t="shared" si="1"/>
        <v>3.5538655462184465</v>
      </c>
    </row>
    <row r="46" spans="1:24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  <c r="W46">
        <f t="shared" si="0"/>
        <v>-1.152352941176467</v>
      </c>
      <c r="X46">
        <f t="shared" si="1"/>
        <v>-3.2061344537815444</v>
      </c>
    </row>
    <row r="47" spans="1:24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  <c r="W47">
        <f t="shared" si="0"/>
        <v>0.42764705882353304</v>
      </c>
      <c r="X47">
        <f t="shared" si="1"/>
        <v>2.3638655462184488</v>
      </c>
    </row>
    <row r="48" spans="1:24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  <c r="W48">
        <f t="shared" si="0"/>
        <v>-0.95235294117646685</v>
      </c>
      <c r="X48">
        <f t="shared" si="1"/>
        <v>-0.2161344537815495</v>
      </c>
    </row>
    <row r="49" spans="1:24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  <c r="W49">
        <f t="shared" si="0"/>
        <v>-1.5423529411764667</v>
      </c>
      <c r="X49">
        <f t="shared" si="1"/>
        <v>-3.7261344537815546</v>
      </c>
    </row>
    <row r="50" spans="1:24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  <c r="W50">
        <f t="shared" si="0"/>
        <v>-1.572352941176467</v>
      </c>
      <c r="X50">
        <f t="shared" si="1"/>
        <v>-4.3261344537815489</v>
      </c>
    </row>
    <row r="51" spans="1:24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  <c r="W51">
        <f t="shared" si="0"/>
        <v>-1.1023529411764663</v>
      </c>
      <c r="X51">
        <f t="shared" si="1"/>
        <v>-3.2161344537815495</v>
      </c>
    </row>
    <row r="52" spans="1:24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  <c r="W52">
        <f t="shared" si="0"/>
        <v>-1.0123529411764665</v>
      </c>
      <c r="X52">
        <f t="shared" si="1"/>
        <v>-1.6461344537815563</v>
      </c>
    </row>
    <row r="53" spans="1:24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  <c r="W53">
        <f t="shared" si="0"/>
        <v>0.5176470588235329</v>
      </c>
      <c r="X53">
        <f t="shared" si="1"/>
        <v>1.4638655462184431</v>
      </c>
    </row>
    <row r="54" spans="1:24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  <c r="W54">
        <f t="shared" si="0"/>
        <v>-0.56235294117646717</v>
      </c>
      <c r="X54">
        <f t="shared" si="1"/>
        <v>-1.4261344537815575</v>
      </c>
    </row>
    <row r="55" spans="1:24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  <c r="W55">
        <f t="shared" si="0"/>
        <v>-0.55235294117646738</v>
      </c>
      <c r="X55">
        <f t="shared" si="1"/>
        <v>-1.1761344537815575</v>
      </c>
    </row>
    <row r="56" spans="1:24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  <c r="W56">
        <f t="shared" si="0"/>
        <v>-0.6723529411764666</v>
      </c>
      <c r="X56">
        <f t="shared" si="1"/>
        <v>-7.6134453781548928E-2</v>
      </c>
    </row>
    <row r="57" spans="1:24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  <c r="W57">
        <f t="shared" si="0"/>
        <v>-1.3023529411764665</v>
      </c>
      <c r="X57">
        <f t="shared" si="1"/>
        <v>-3.8861344537815512</v>
      </c>
    </row>
    <row r="58" spans="1:24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  <c r="W58">
        <f t="shared" si="0"/>
        <v>-1.0923529411764665</v>
      </c>
      <c r="X58">
        <f t="shared" si="1"/>
        <v>-1.4061344537815472</v>
      </c>
    </row>
    <row r="59" spans="1:24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  <c r="W59">
        <f t="shared" si="0"/>
        <v>-1.7523529411764667</v>
      </c>
      <c r="X59">
        <f t="shared" si="1"/>
        <v>-5.0161344537815467</v>
      </c>
    </row>
    <row r="60" spans="1:24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  <c r="W60">
        <f t="shared" si="0"/>
        <v>-1.3523529411764663</v>
      </c>
      <c r="X60">
        <f t="shared" si="1"/>
        <v>-3.7961344537815478</v>
      </c>
    </row>
    <row r="61" spans="1:24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  <c r="W61">
        <f t="shared" si="0"/>
        <v>-2.2723529411764671</v>
      </c>
      <c r="X61">
        <f t="shared" si="1"/>
        <v>-7.0961344537815449</v>
      </c>
    </row>
    <row r="62" spans="1:24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  <c r="W62">
        <f t="shared" si="0"/>
        <v>-1.4723529411764664</v>
      </c>
      <c r="X62">
        <f t="shared" si="1"/>
        <v>-4.0461344537815478</v>
      </c>
    </row>
    <row r="63" spans="1:24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  <c r="W63">
        <f t="shared" si="0"/>
        <v>-2.4223529411764666</v>
      </c>
      <c r="X63">
        <f t="shared" si="1"/>
        <v>-5.5661344537815438</v>
      </c>
    </row>
    <row r="64" spans="1:24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  <c r="W64">
        <f t="shared" si="0"/>
        <v>2.597647058823533</v>
      </c>
      <c r="X64">
        <f t="shared" si="1"/>
        <v>6.4038655462184551</v>
      </c>
    </row>
    <row r="65" spans="1:24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  <c r="W65">
        <f t="shared" si="0"/>
        <v>2.4176470588235333</v>
      </c>
      <c r="X65">
        <f t="shared" si="1"/>
        <v>8.663865546218446</v>
      </c>
    </row>
    <row r="66" spans="1:24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  <c r="W66">
        <f t="shared" si="0"/>
        <v>2.6476470588235337</v>
      </c>
      <c r="X66">
        <f t="shared" si="1"/>
        <v>9.9738655462184482</v>
      </c>
    </row>
    <row r="67" spans="1:24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  <c r="W67">
        <f t="shared" ref="W67:W120" si="2">C67-$Q$25</f>
        <v>2.217647058823534</v>
      </c>
      <c r="X67">
        <f t="shared" ref="X67:X120" si="3">B67-$Q$24</f>
        <v>9.4938655462184443</v>
      </c>
    </row>
    <row r="68" spans="1:24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  <c r="W68">
        <f t="shared" si="2"/>
        <v>0.50764705882353311</v>
      </c>
      <c r="X68">
        <f t="shared" si="3"/>
        <v>1.4638655462184431</v>
      </c>
    </row>
    <row r="69" spans="1:24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  <c r="W69">
        <f t="shared" si="2"/>
        <v>0.44764705882353262</v>
      </c>
      <c r="X69">
        <f t="shared" si="3"/>
        <v>1.7538655462184494</v>
      </c>
    </row>
    <row r="70" spans="1:24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  <c r="W70">
        <f t="shared" si="2"/>
        <v>0.36764705882353255</v>
      </c>
      <c r="X70">
        <f t="shared" si="3"/>
        <v>0.43386554621845619</v>
      </c>
    </row>
    <row r="71" spans="1:24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  <c r="W71">
        <f t="shared" si="2"/>
        <v>0.97764705882353375</v>
      </c>
      <c r="X71">
        <f t="shared" si="3"/>
        <v>6.3038655462184465</v>
      </c>
    </row>
    <row r="72" spans="1:24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  <c r="W72">
        <f t="shared" si="2"/>
        <v>-1.4823529411764671</v>
      </c>
      <c r="X72">
        <f t="shared" si="3"/>
        <v>-3.6061344537815501</v>
      </c>
    </row>
    <row r="73" spans="1:24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  <c r="W73">
        <f t="shared" si="2"/>
        <v>2.4976470588235333</v>
      </c>
      <c r="X73">
        <f t="shared" si="3"/>
        <v>9.9638655462184431</v>
      </c>
    </row>
    <row r="74" spans="1:24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  <c r="W74">
        <f t="shared" si="2"/>
        <v>3.2876470588235325</v>
      </c>
      <c r="X74">
        <f t="shared" si="3"/>
        <v>13.353865546218444</v>
      </c>
    </row>
    <row r="75" spans="1:24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  <c r="W75">
        <f t="shared" si="2"/>
        <v>-0.93235294117646639</v>
      </c>
      <c r="X75">
        <f t="shared" si="3"/>
        <v>-4.2561344537815557</v>
      </c>
    </row>
    <row r="76" spans="1:24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  <c r="W76">
        <f t="shared" si="2"/>
        <v>-1.0323529411764669</v>
      </c>
      <c r="X76">
        <f t="shared" si="3"/>
        <v>-2.0461344537815478</v>
      </c>
    </row>
    <row r="77" spans="1:24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  <c r="W77">
        <f t="shared" si="2"/>
        <v>-0.91235294117646681</v>
      </c>
      <c r="X77">
        <f t="shared" si="3"/>
        <v>-3.2761344537815518</v>
      </c>
    </row>
    <row r="78" spans="1:24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  <c r="W78">
        <f t="shared" si="2"/>
        <v>-0.15235294117646703</v>
      </c>
      <c r="X78">
        <f t="shared" si="3"/>
        <v>-0.61613445378155518</v>
      </c>
    </row>
    <row r="79" spans="1:24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  <c r="W79">
        <f t="shared" si="2"/>
        <v>-0.96235294117646664</v>
      </c>
      <c r="X79">
        <f t="shared" si="3"/>
        <v>-2.3061344537815529</v>
      </c>
    </row>
    <row r="80" spans="1:24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  <c r="W80">
        <f t="shared" si="2"/>
        <v>-0.57235294117646696</v>
      </c>
      <c r="X80">
        <f t="shared" si="3"/>
        <v>-0.56613445378154381</v>
      </c>
    </row>
    <row r="81" spans="1:24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  <c r="W81">
        <f t="shared" si="2"/>
        <v>-1.0323529411764669</v>
      </c>
      <c r="X81">
        <f t="shared" si="3"/>
        <v>-2.2161344537815495</v>
      </c>
    </row>
    <row r="82" spans="1:24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  <c r="W82">
        <f t="shared" si="2"/>
        <v>-1.5623529411764672</v>
      </c>
      <c r="X82">
        <f t="shared" si="3"/>
        <v>-5.4361344537815484</v>
      </c>
    </row>
    <row r="83" spans="1:24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  <c r="W83">
        <f t="shared" si="2"/>
        <v>-2.2923529411764667</v>
      </c>
      <c r="X83">
        <f t="shared" si="3"/>
        <v>-4.8161344537815438</v>
      </c>
    </row>
    <row r="84" spans="1:24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  <c r="W84">
        <f t="shared" si="2"/>
        <v>-1.0523529411764665</v>
      </c>
      <c r="X84">
        <f t="shared" si="3"/>
        <v>-1.4461344537815535</v>
      </c>
    </row>
    <row r="85" spans="1:24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  <c r="W85">
        <f t="shared" si="2"/>
        <v>-2.3023529411764665</v>
      </c>
      <c r="X85">
        <f t="shared" si="3"/>
        <v>-4.5261344537815518</v>
      </c>
    </row>
    <row r="86" spans="1:24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  <c r="W86">
        <f t="shared" si="2"/>
        <v>-1.902352941176467</v>
      </c>
      <c r="X86">
        <f t="shared" si="3"/>
        <v>-4.5261344537815518</v>
      </c>
    </row>
    <row r="87" spans="1:24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  <c r="W87">
        <f t="shared" si="2"/>
        <v>-2.5223529411764671</v>
      </c>
      <c r="X87">
        <f t="shared" si="3"/>
        <v>-4.8961344537815563</v>
      </c>
    </row>
    <row r="88" spans="1:24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  <c r="W88">
        <f t="shared" si="2"/>
        <v>-1.3723529411764668</v>
      </c>
      <c r="X88">
        <f t="shared" si="3"/>
        <v>-3.3861344537815512</v>
      </c>
    </row>
    <row r="89" spans="1:24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  <c r="W89">
        <f t="shared" si="2"/>
        <v>2.0776470588235334</v>
      </c>
      <c r="X89">
        <f t="shared" si="3"/>
        <v>6.9238655462184511</v>
      </c>
    </row>
    <row r="90" spans="1:24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  <c r="W90">
        <f t="shared" si="2"/>
        <v>0.29764705882353404</v>
      </c>
      <c r="X90">
        <f t="shared" si="3"/>
        <v>0.94386554621844709</v>
      </c>
    </row>
    <row r="91" spans="1:24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  <c r="W91">
        <f t="shared" si="2"/>
        <v>-5.2352941176467382E-2</v>
      </c>
      <c r="X91">
        <f t="shared" si="3"/>
        <v>-7.6134453781548928E-2</v>
      </c>
    </row>
    <row r="92" spans="1:24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  <c r="W92">
        <f t="shared" si="2"/>
        <v>-0.58235294117646674</v>
      </c>
      <c r="X92">
        <f t="shared" si="3"/>
        <v>-0.50613445378155575</v>
      </c>
    </row>
    <row r="93" spans="1:24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  <c r="W93">
        <f t="shared" si="2"/>
        <v>-0.63235294117646745</v>
      </c>
      <c r="X93">
        <f t="shared" si="3"/>
        <v>-0.93613445378154836</v>
      </c>
    </row>
    <row r="94" spans="1:24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  <c r="W94">
        <f t="shared" si="2"/>
        <v>-0.14235294117646724</v>
      </c>
      <c r="X94">
        <f t="shared" si="3"/>
        <v>1.0238655462184454</v>
      </c>
    </row>
    <row r="95" spans="1:24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  <c r="W95">
        <f t="shared" si="2"/>
        <v>-0.99235294117646689</v>
      </c>
      <c r="X95">
        <f t="shared" si="3"/>
        <v>-1.836134453781554</v>
      </c>
    </row>
    <row r="96" spans="1:24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  <c r="W96">
        <f t="shared" si="2"/>
        <v>-1.2423529411764669</v>
      </c>
      <c r="X96">
        <f t="shared" si="3"/>
        <v>-2.9961344537815506</v>
      </c>
    </row>
    <row r="97" spans="1:24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  <c r="W97">
        <f t="shared" si="2"/>
        <v>-1.3023529411764665</v>
      </c>
      <c r="X97">
        <f t="shared" si="3"/>
        <v>-3.4361344537815484</v>
      </c>
    </row>
    <row r="98" spans="1:24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  <c r="W98">
        <f t="shared" si="2"/>
        <v>-0.35235294117646632</v>
      </c>
      <c r="X98">
        <f t="shared" si="3"/>
        <v>0.15386554621845505</v>
      </c>
    </row>
    <row r="99" spans="1:24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  <c r="W99">
        <f t="shared" si="2"/>
        <v>1.1976470588235326</v>
      </c>
      <c r="X99">
        <f t="shared" si="3"/>
        <v>3.1838655462184562</v>
      </c>
    </row>
    <row r="100" spans="1:24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  <c r="W100">
        <f t="shared" si="2"/>
        <v>-2.822352941176467</v>
      </c>
      <c r="X100">
        <f t="shared" si="3"/>
        <v>-8.4161344537815523</v>
      </c>
    </row>
    <row r="101" spans="1:24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  <c r="W101">
        <f t="shared" si="2"/>
        <v>-3.7523529411764667</v>
      </c>
      <c r="X101">
        <f t="shared" si="3"/>
        <v>-9.0261344537815518</v>
      </c>
    </row>
    <row r="102" spans="1:24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  <c r="W102">
        <f t="shared" si="2"/>
        <v>-1.6623529411764668</v>
      </c>
      <c r="X102">
        <f t="shared" si="3"/>
        <v>-4.8961344537815563</v>
      </c>
    </row>
    <row r="103" spans="1:24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  <c r="W103">
        <f t="shared" si="2"/>
        <v>-2.7323529411764671</v>
      </c>
      <c r="X103">
        <f t="shared" si="3"/>
        <v>-5.9661344537815495</v>
      </c>
    </row>
    <row r="104" spans="1:24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  <c r="W104">
        <f t="shared" si="2"/>
        <v>2.0876470588235332</v>
      </c>
      <c r="X104">
        <f t="shared" si="3"/>
        <v>6.1338655462184448</v>
      </c>
    </row>
    <row r="105" spans="1:24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  <c r="W105">
        <f t="shared" si="2"/>
        <v>1.9876470588235335</v>
      </c>
      <c r="X105">
        <f t="shared" si="3"/>
        <v>5.6938655462184471</v>
      </c>
    </row>
    <row r="106" spans="1:24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  <c r="W106">
        <f t="shared" si="2"/>
        <v>2.3076470588235338</v>
      </c>
      <c r="X106">
        <f t="shared" si="3"/>
        <v>8.9338655462184562</v>
      </c>
    </row>
    <row r="107" spans="1:24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  <c r="W107">
        <f t="shared" si="2"/>
        <v>0.8876470588235339</v>
      </c>
      <c r="X107">
        <f t="shared" si="3"/>
        <v>2.0438655462184556</v>
      </c>
    </row>
    <row r="108" spans="1:24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  <c r="W108">
        <f t="shared" si="2"/>
        <v>1.1076470588235328</v>
      </c>
      <c r="X108">
        <f t="shared" si="3"/>
        <v>3.1538655462184551</v>
      </c>
    </row>
    <row r="109" spans="1:24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  <c r="W109">
        <f t="shared" si="2"/>
        <v>2.547647058823534</v>
      </c>
      <c r="X109">
        <f t="shared" si="3"/>
        <v>6.0138655462184545</v>
      </c>
    </row>
    <row r="110" spans="1:24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  <c r="W110">
        <f t="shared" si="2"/>
        <v>3.2776470588235327</v>
      </c>
      <c r="X110">
        <f t="shared" si="3"/>
        <v>8.7638655462184545</v>
      </c>
    </row>
    <row r="111" spans="1:24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  <c r="W111">
        <f t="shared" si="2"/>
        <v>2.0576470588235338</v>
      </c>
      <c r="X111">
        <f t="shared" si="3"/>
        <v>8.9438655462184471</v>
      </c>
    </row>
    <row r="112" spans="1:24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  <c r="W112">
        <f t="shared" si="2"/>
        <v>1.0376470588235325</v>
      </c>
      <c r="X112">
        <f t="shared" si="3"/>
        <v>3.9438655462184471</v>
      </c>
    </row>
    <row r="113" spans="1:24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  <c r="W113">
        <f t="shared" si="2"/>
        <v>-1.6723529411764666</v>
      </c>
      <c r="X113">
        <f t="shared" si="3"/>
        <v>-4.8661344537815552</v>
      </c>
    </row>
    <row r="114" spans="1:24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  <c r="W114">
        <f t="shared" si="2"/>
        <v>-2.2223529411764664</v>
      </c>
      <c r="X114">
        <f t="shared" si="3"/>
        <v>-7.4161344537815523</v>
      </c>
    </row>
    <row r="115" spans="1:24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  <c r="W115">
        <f t="shared" si="2"/>
        <v>0.22764705882353375</v>
      </c>
      <c r="X115">
        <f t="shared" si="3"/>
        <v>0.44386554621844709</v>
      </c>
    </row>
    <row r="116" spans="1:24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  <c r="W116">
        <f t="shared" si="2"/>
        <v>-0.95235294117646685</v>
      </c>
      <c r="X116">
        <f t="shared" si="3"/>
        <v>-2.4661344537815495</v>
      </c>
    </row>
    <row r="117" spans="1:24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  <c r="W117">
        <f t="shared" si="2"/>
        <v>2.3076470588235338</v>
      </c>
      <c r="X117">
        <f t="shared" si="3"/>
        <v>5.7838655462184505</v>
      </c>
    </row>
    <row r="118" spans="1:24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  <c r="W118">
        <f t="shared" si="2"/>
        <v>1.5576470588235338</v>
      </c>
      <c r="X118">
        <f t="shared" si="3"/>
        <v>3.0838655462184477</v>
      </c>
    </row>
    <row r="119" spans="1:24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  <c r="W119">
        <f t="shared" si="2"/>
        <v>9.7647058823532973E-2</v>
      </c>
      <c r="X119">
        <f t="shared" si="3"/>
        <v>1.1538655462184551</v>
      </c>
    </row>
    <row r="120" spans="1:24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  <c r="W120">
        <f t="shared" si="2"/>
        <v>3.0276470588235327</v>
      </c>
      <c r="X120">
        <f t="shared" si="3"/>
        <v>8.413865546218446</v>
      </c>
    </row>
  </sheetData>
  <mergeCells count="10">
    <mergeCell ref="M20:O20"/>
    <mergeCell ref="M30:N30"/>
    <mergeCell ref="T20:V20"/>
    <mergeCell ref="M1:N1"/>
    <mergeCell ref="M3:Q3"/>
    <mergeCell ref="M14:N14"/>
    <mergeCell ref="O14:Q14"/>
    <mergeCell ref="M18:N18"/>
    <mergeCell ref="S3:U3"/>
    <mergeCell ref="O30:Q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E13" sqref="E13"/>
    </sheetView>
  </sheetViews>
  <sheetFormatPr defaultColWidth="12.6328125" defaultRowHeight="15.75" customHeight="1" x14ac:dyDescent="0.25"/>
  <sheetData>
    <row r="1" spans="1:60" ht="42.5" customHeight="1" x14ac:dyDescent="0.3">
      <c r="A1" s="22" t="s">
        <v>0</v>
      </c>
      <c r="B1" s="24" t="s">
        <v>1</v>
      </c>
      <c r="C1" s="19" t="s">
        <v>2</v>
      </c>
      <c r="D1" s="20"/>
      <c r="E1" s="20"/>
      <c r="F1" s="20"/>
      <c r="G1" s="21"/>
      <c r="H1" s="25" t="s">
        <v>3</v>
      </c>
      <c r="I1" s="20"/>
      <c r="J1" s="20"/>
      <c r="K1" s="20"/>
      <c r="L1" s="21"/>
      <c r="M1" s="19" t="s">
        <v>4</v>
      </c>
      <c r="N1" s="20"/>
      <c r="O1" s="20"/>
      <c r="P1" s="20"/>
      <c r="Q1" s="21"/>
      <c r="R1" s="26" t="s">
        <v>5</v>
      </c>
      <c r="S1" s="20"/>
      <c r="T1" s="20"/>
      <c r="U1" s="20"/>
      <c r="V1" s="21"/>
      <c r="W1" s="27" t="s">
        <v>6</v>
      </c>
      <c r="X1" s="20"/>
      <c r="Y1" s="20"/>
      <c r="Z1" s="20"/>
      <c r="AA1" s="21"/>
      <c r="AB1" s="28" t="s">
        <v>7</v>
      </c>
      <c r="AC1" s="20"/>
      <c r="AD1" s="21"/>
      <c r="AE1" s="19" t="s">
        <v>8</v>
      </c>
      <c r="AF1" s="20"/>
      <c r="AG1" s="20"/>
      <c r="AH1" s="20"/>
      <c r="AI1" s="21"/>
      <c r="AJ1" s="26" t="s">
        <v>9</v>
      </c>
      <c r="AK1" s="20"/>
      <c r="AL1" s="20"/>
      <c r="AM1" s="20"/>
      <c r="AN1" s="21"/>
      <c r="AO1" s="19" t="s">
        <v>10</v>
      </c>
      <c r="AP1" s="20"/>
      <c r="AQ1" s="20"/>
      <c r="AR1" s="20"/>
      <c r="AS1" s="21"/>
      <c r="AT1" s="26" t="s">
        <v>11</v>
      </c>
      <c r="AU1" s="20"/>
      <c r="AV1" s="20"/>
      <c r="AW1" s="20"/>
      <c r="AX1" s="21"/>
      <c r="AY1" s="19" t="s">
        <v>12</v>
      </c>
      <c r="AZ1" s="20"/>
      <c r="BA1" s="20"/>
      <c r="BB1" s="20"/>
      <c r="BC1" s="21"/>
      <c r="BD1" s="1"/>
      <c r="BE1" s="2"/>
      <c r="BF1" s="2"/>
      <c r="BG1" s="2"/>
      <c r="BH1" s="2"/>
    </row>
    <row r="2" spans="1:60" ht="13" x14ac:dyDescent="0.3">
      <c r="A2" s="23"/>
      <c r="B2" s="23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Abdullah' ammar rabbaniyyin</cp:lastModifiedBy>
  <dcterms:modified xsi:type="dcterms:W3CDTF">2026-02-09T15:12:42Z</dcterms:modified>
</cp:coreProperties>
</file>